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1" l="1"/>
  <c r="P3" i="1" a="1"/>
  <c r="P3" i="1" s="1"/>
  <c r="O4" i="1"/>
  <c r="O5" i="1"/>
  <c r="O6" i="1"/>
  <c r="O7" i="1"/>
  <c r="O8" i="1"/>
  <c r="O9" i="1"/>
  <c r="O10" i="1"/>
  <c r="O11" i="1"/>
  <c r="O12" i="1"/>
  <c r="O3" i="1"/>
  <c r="N12" i="1"/>
  <c r="N11" i="1"/>
  <c r="N10" i="1"/>
  <c r="N9" i="1"/>
  <c r="N8" i="1"/>
  <c r="N7" i="1"/>
  <c r="N6" i="1"/>
  <c r="N5" i="1"/>
  <c r="N4" i="1"/>
  <c r="N3" i="1"/>
  <c r="E4" i="1"/>
  <c r="E5" i="1"/>
  <c r="E6" i="1"/>
  <c r="E7" i="1"/>
  <c r="E8" i="1"/>
  <c r="E9" i="1"/>
  <c r="E10" i="1"/>
  <c r="E11" i="1"/>
  <c r="E12" i="1"/>
  <c r="E3" i="1"/>
  <c r="H11" i="1"/>
  <c r="H10" i="1"/>
  <c r="H9" i="1"/>
  <c r="H8" i="1"/>
</calcChain>
</file>

<file path=xl/sharedStrings.xml><?xml version="1.0" encoding="utf-8"?>
<sst xmlns="http://schemas.openxmlformats.org/spreadsheetml/2006/main" count="21" uniqueCount="20">
  <si>
    <t>Прогноз</t>
  </si>
  <si>
    <t>Тип</t>
  </si>
  <si>
    <t>№</t>
  </si>
  <si>
    <t>задание 1</t>
  </si>
  <si>
    <t>TP</t>
  </si>
  <si>
    <t>TN</t>
  </si>
  <si>
    <t>FP</t>
  </si>
  <si>
    <t>FN</t>
  </si>
  <si>
    <t>задание 2-5</t>
  </si>
  <si>
    <t>2:</t>
  </si>
  <si>
    <t>3:</t>
  </si>
  <si>
    <t>4:</t>
  </si>
  <si>
    <t>5:</t>
  </si>
  <si>
    <t>Факт, °С</t>
  </si>
  <si>
    <t>Прогноз, °С</t>
  </si>
  <si>
    <t>Ошибка</t>
  </si>
  <si>
    <t>MSE</t>
  </si>
  <si>
    <t>MAE</t>
  </si>
  <si>
    <t>MAPE</t>
  </si>
  <si>
    <t>задание 6-9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</si>
</sst>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0" fontId="0" fillId="0" borderId="0" xfId="0" applyNumberFormat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70" fontId="0" fillId="0" borderId="1" xfId="0" applyNumberFormat="1" applyBorder="1" applyAlignment="1">
      <alignment horizontal="center" vertical="center" wrapText="1"/>
    </xf>
    <xf numFmtId="2" fontId="0" fillId="0" borderId="0" xfId="0" applyNumberFormat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workbookViewId="0">
      <selection activeCell="Q3" sqref="Q3"/>
    </sheetView>
  </sheetViews>
  <sheetFormatPr defaultRowHeight="14.4" x14ac:dyDescent="0.3"/>
  <cols>
    <col min="1" max="1" width="9.6640625" style="2" bestFit="1" customWidth="1"/>
    <col min="2" max="6" width="8.88671875" style="2"/>
    <col min="7" max="7" width="11.33203125" style="2" bestFit="1" customWidth="1"/>
    <col min="8" max="8" width="11.44140625" style="2" bestFit="1" customWidth="1"/>
    <col min="9" max="9" width="8.88671875" style="2"/>
    <col min="10" max="10" width="11.33203125" style="2" bestFit="1" customWidth="1"/>
    <col min="11" max="11" width="8.88671875" style="2"/>
    <col min="12" max="12" width="7.77734375" style="2" bestFit="1" customWidth="1"/>
    <col min="13" max="13" width="10.77734375" style="2" bestFit="1" customWidth="1"/>
    <col min="14" max="16384" width="8.88671875" style="2"/>
  </cols>
  <sheetData>
    <row r="1" spans="1:17" x14ac:dyDescent="0.3">
      <c r="A1" s="2" t="s">
        <v>3</v>
      </c>
      <c r="G1" s="1" t="s">
        <v>8</v>
      </c>
      <c r="J1" s="1" t="s">
        <v>19</v>
      </c>
    </row>
    <row r="2" spans="1:17" x14ac:dyDescent="0.3">
      <c r="B2" s="3" t="s">
        <v>2</v>
      </c>
      <c r="C2" s="3" t="b">
        <v>1</v>
      </c>
      <c r="D2" s="3" t="s">
        <v>0</v>
      </c>
      <c r="E2" s="3" t="s">
        <v>1</v>
      </c>
      <c r="K2" s="2" t="s">
        <v>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</row>
    <row r="3" spans="1:17" x14ac:dyDescent="0.3">
      <c r="B3" s="3">
        <v>1</v>
      </c>
      <c r="C3" s="3">
        <v>1</v>
      </c>
      <c r="D3" s="3">
        <v>1</v>
      </c>
      <c r="E3" s="3" t="str">
        <f>IF(AND($C3=1,$D3=1),"TP",IF(AND($C3=0,$D3=0),"TN",IF(AND($C3=0,$D3=1),"FP","FN")))</f>
        <v>TP</v>
      </c>
      <c r="G3" s="3" t="s">
        <v>4</v>
      </c>
      <c r="H3" s="3">
        <v>32</v>
      </c>
      <c r="I3" s="1"/>
      <c r="K3" s="2">
        <v>1</v>
      </c>
      <c r="L3" s="2">
        <v>62</v>
      </c>
      <c r="M3" s="2">
        <v>60</v>
      </c>
      <c r="N3" s="2">
        <f>L3-M3</f>
        <v>2</v>
      </c>
      <c r="O3" s="4">
        <f>SUMSQ(N3:N12)/COUNT(N3:N12)</f>
        <v>4.5999999999999996</v>
      </c>
      <c r="P3" s="7">
        <f t="array" ref="P3">AVERAGE(ABS(N3:N12))</f>
        <v>2</v>
      </c>
      <c r="Q3" s="8">
        <f>AVERAGE(ABS(N3:N12)/L3:L12)</f>
        <v>3.2258064516129031E-2</v>
      </c>
    </row>
    <row r="4" spans="1:17" x14ac:dyDescent="0.3">
      <c r="B4" s="3">
        <v>2</v>
      </c>
      <c r="C4" s="3">
        <v>0</v>
      </c>
      <c r="D4" s="3">
        <v>0</v>
      </c>
      <c r="E4" s="3" t="str">
        <f t="shared" ref="E4:E12" si="0">IF(AND($C4=1,$D4=1),"TP",IF(AND($C4=0,$D4=0),"TN",IF(AND($C4=0,$D4=1),"FP","FN")))</f>
        <v>TN</v>
      </c>
      <c r="G4" s="3" t="s">
        <v>5</v>
      </c>
      <c r="H4" s="3">
        <v>54</v>
      </c>
      <c r="K4" s="2">
        <v>2</v>
      </c>
      <c r="L4" s="2">
        <v>65</v>
      </c>
      <c r="M4" s="2">
        <v>66</v>
      </c>
      <c r="N4" s="2">
        <f t="shared" ref="N4:N12" si="1">L4-M4</f>
        <v>-1</v>
      </c>
      <c r="O4" s="4">
        <f t="shared" ref="O4:O12" si="2">SUMSQ(N4:N13)/COUNT(N4:N13)</f>
        <v>4.666666666666667</v>
      </c>
    </row>
    <row r="5" spans="1:17" x14ac:dyDescent="0.3">
      <c r="B5" s="3">
        <v>3</v>
      </c>
      <c r="C5" s="3">
        <v>1</v>
      </c>
      <c r="D5" s="3">
        <v>1</v>
      </c>
      <c r="E5" s="3" t="str">
        <f t="shared" si="0"/>
        <v>TP</v>
      </c>
      <c r="G5" s="3" t="s">
        <v>6</v>
      </c>
      <c r="H5" s="3">
        <v>6</v>
      </c>
      <c r="K5" s="2">
        <v>3</v>
      </c>
      <c r="L5" s="2">
        <v>68</v>
      </c>
      <c r="M5" s="2">
        <v>70</v>
      </c>
      <c r="N5" s="2">
        <f t="shared" si="1"/>
        <v>-2</v>
      </c>
      <c r="O5" s="4">
        <f t="shared" si="2"/>
        <v>5.125</v>
      </c>
    </row>
    <row r="6" spans="1:17" x14ac:dyDescent="0.3">
      <c r="B6" s="3">
        <v>4</v>
      </c>
      <c r="C6" s="3">
        <v>1</v>
      </c>
      <c r="D6" s="3">
        <v>0</v>
      </c>
      <c r="E6" s="3" t="str">
        <f t="shared" si="0"/>
        <v>FN</v>
      </c>
      <c r="G6" s="3" t="s">
        <v>7</v>
      </c>
      <c r="H6" s="3">
        <v>8</v>
      </c>
      <c r="K6" s="2">
        <v>4</v>
      </c>
      <c r="L6" s="2">
        <v>70</v>
      </c>
      <c r="M6" s="2">
        <v>69</v>
      </c>
      <c r="N6" s="2">
        <f t="shared" si="1"/>
        <v>1</v>
      </c>
      <c r="O6" s="4">
        <f t="shared" si="2"/>
        <v>5.2857142857142856</v>
      </c>
    </row>
    <row r="7" spans="1:17" x14ac:dyDescent="0.3">
      <c r="B7" s="3">
        <v>5</v>
      </c>
      <c r="C7" s="3">
        <v>0</v>
      </c>
      <c r="D7" s="3">
        <v>1</v>
      </c>
      <c r="E7" s="3" t="str">
        <f t="shared" si="0"/>
        <v>FP</v>
      </c>
      <c r="K7" s="2">
        <v>5</v>
      </c>
      <c r="L7" s="2">
        <v>72</v>
      </c>
      <c r="M7" s="2">
        <v>75</v>
      </c>
      <c r="N7" s="2">
        <f t="shared" si="1"/>
        <v>-3</v>
      </c>
      <c r="O7" s="4">
        <f t="shared" si="2"/>
        <v>6</v>
      </c>
    </row>
    <row r="8" spans="1:17" x14ac:dyDescent="0.3">
      <c r="B8" s="3">
        <v>6</v>
      </c>
      <c r="C8" s="3">
        <v>0</v>
      </c>
      <c r="D8" s="3">
        <v>0</v>
      </c>
      <c r="E8" s="3" t="str">
        <f t="shared" si="0"/>
        <v>TN</v>
      </c>
      <c r="G8" s="5" t="s">
        <v>9</v>
      </c>
      <c r="H8" s="6">
        <f>(H3+H4)/(H3+H4+H5+H6)</f>
        <v>0.86</v>
      </c>
      <c r="K8" s="2">
        <v>6</v>
      </c>
      <c r="L8" s="2">
        <v>75</v>
      </c>
      <c r="M8" s="2">
        <v>73</v>
      </c>
      <c r="N8" s="2">
        <f t="shared" si="1"/>
        <v>2</v>
      </c>
      <c r="O8" s="4">
        <f t="shared" si="2"/>
        <v>5.4</v>
      </c>
    </row>
    <row r="9" spans="1:17" x14ac:dyDescent="0.3">
      <c r="B9" s="3">
        <v>7</v>
      </c>
      <c r="C9" s="3">
        <v>1</v>
      </c>
      <c r="D9" s="3">
        <v>1</v>
      </c>
      <c r="E9" s="3" t="str">
        <f t="shared" si="0"/>
        <v>TP</v>
      </c>
      <c r="G9" s="5" t="s">
        <v>10</v>
      </c>
      <c r="H9" s="6">
        <f>H3/(H3+H5)</f>
        <v>0.84210526315789469</v>
      </c>
      <c r="K9" s="2">
        <v>7</v>
      </c>
      <c r="L9" s="2">
        <v>77</v>
      </c>
      <c r="M9" s="2">
        <v>80</v>
      </c>
      <c r="N9" s="2">
        <f t="shared" si="1"/>
        <v>-3</v>
      </c>
      <c r="O9" s="4">
        <f t="shared" si="2"/>
        <v>5.75</v>
      </c>
    </row>
    <row r="10" spans="1:17" x14ac:dyDescent="0.3">
      <c r="B10" s="3">
        <v>8</v>
      </c>
      <c r="C10" s="3">
        <v>0</v>
      </c>
      <c r="D10" s="3">
        <v>0</v>
      </c>
      <c r="E10" s="3" t="str">
        <f t="shared" si="0"/>
        <v>TN</v>
      </c>
      <c r="G10" s="5" t="s">
        <v>11</v>
      </c>
      <c r="H10" s="6">
        <f>H3/(H3+H6)</f>
        <v>0.8</v>
      </c>
      <c r="K10" s="2">
        <v>8</v>
      </c>
      <c r="L10" s="2">
        <v>80</v>
      </c>
      <c r="M10" s="2">
        <v>79</v>
      </c>
      <c r="N10" s="2">
        <f t="shared" si="1"/>
        <v>1</v>
      </c>
      <c r="O10" s="4">
        <f t="shared" si="2"/>
        <v>4.666666666666667</v>
      </c>
    </row>
    <row r="11" spans="1:17" x14ac:dyDescent="0.3">
      <c r="B11" s="3">
        <v>9</v>
      </c>
      <c r="C11" s="3">
        <v>1</v>
      </c>
      <c r="D11" s="3">
        <v>0</v>
      </c>
      <c r="E11" s="3" t="str">
        <f t="shared" si="0"/>
        <v>FN</v>
      </c>
      <c r="G11" s="5" t="s">
        <v>12</v>
      </c>
      <c r="H11" s="6">
        <f>2*H9*H10/(H9+H10)</f>
        <v>0.82051282051282048</v>
      </c>
      <c r="K11" s="2">
        <v>9</v>
      </c>
      <c r="L11" s="2">
        <v>84</v>
      </c>
      <c r="M11" s="2">
        <v>86</v>
      </c>
      <c r="N11" s="2">
        <f t="shared" si="1"/>
        <v>-2</v>
      </c>
      <c r="O11" s="4">
        <f t="shared" si="2"/>
        <v>6.5</v>
      </c>
    </row>
    <row r="12" spans="1:17" x14ac:dyDescent="0.3">
      <c r="B12" s="3">
        <v>10</v>
      </c>
      <c r="C12" s="3">
        <v>0</v>
      </c>
      <c r="D12" s="3">
        <v>0</v>
      </c>
      <c r="E12" s="3" t="str">
        <f t="shared" si="0"/>
        <v>TN</v>
      </c>
      <c r="K12" s="2">
        <v>10</v>
      </c>
      <c r="L12" s="2">
        <v>88</v>
      </c>
      <c r="M12" s="2">
        <v>85</v>
      </c>
      <c r="N12" s="2">
        <f t="shared" si="1"/>
        <v>3</v>
      </c>
      <c r="O12" s="4">
        <f t="shared" si="2"/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2026-09-25T06:25:05Z</dcterms:modified>
</cp:coreProperties>
</file>